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io.navia\Documents\"/>
    </mc:Choice>
  </mc:AlternateContent>
  <xr:revisionPtr revIDLastSave="0" documentId="13_ncr:1_{E37B9B6E-C03B-42D0-8F8E-75982A9483CE}" xr6:coauthVersionLast="47" xr6:coauthVersionMax="47" xr10:uidLastSave="{00000000-0000-0000-0000-000000000000}"/>
  <bookViews>
    <workbookView xWindow="-120" yWindow="-120" windowWidth="38640" windowHeight="15720" tabRatio="0" xr2:uid="{D1E0F852-023D-42BE-A7D6-A5B89258A1C6}"/>
  </bookViews>
  <sheets>
    <sheet name="Simulador" sheetId="1" r:id="rId1"/>
    <sheet name="tabela apoio" sheetId="2" r:id="rId2"/>
  </sheets>
  <definedNames>
    <definedName name="aporte_mensal">Simulador!$D$20</definedName>
    <definedName name="dividentos">Simulador!$D$24</definedName>
    <definedName name="investimento_mensal">Simulador!$D$20</definedName>
    <definedName name="patrimonio">Simulador!$D$23</definedName>
    <definedName name="Perfil">Simulador!$C$34</definedName>
    <definedName name="qtd_anos">Simulador!$D$21</definedName>
    <definedName name="rendimento_carteira">Simulador!$D$16</definedName>
    <definedName name="salario">Simulador!$D$15</definedName>
    <definedName name="sugestao_investimento">Simulador!$D$17</definedName>
    <definedName name="taxa_mensal">Simulador!$D$22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9" i="1" l="1"/>
  <c r="D39" i="1" s="1"/>
  <c r="C40" i="1"/>
  <c r="D40" i="1" s="1"/>
  <c r="C41" i="1"/>
  <c r="D41" i="1" s="1"/>
  <c r="C42" i="1"/>
  <c r="D42" i="1" s="1"/>
  <c r="C43" i="1"/>
  <c r="D43" i="1" s="1"/>
  <c r="C38" i="1"/>
  <c r="A38" i="1"/>
  <c r="A39" i="1"/>
  <c r="A40" i="1"/>
  <c r="A41" i="1"/>
  <c r="A42" i="1"/>
  <c r="A43" i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3" i="2"/>
  <c r="C35" i="1"/>
  <c r="D23" i="1"/>
  <c r="D24" i="1" s="1"/>
  <c r="C28" i="1"/>
  <c r="D28" i="1" s="1"/>
  <c r="C29" i="1"/>
  <c r="D29" i="1" s="1"/>
  <c r="C30" i="1"/>
  <c r="D30" i="1" s="1"/>
  <c r="C31" i="1"/>
  <c r="D31" i="1" s="1"/>
  <c r="C27" i="1"/>
  <c r="D27" i="1" s="1"/>
  <c r="D17" i="1"/>
  <c r="D38" i="1" l="1"/>
  <c r="D44" i="1" s="1"/>
</calcChain>
</file>

<file path=xl/sharedStrings.xml><?xml version="1.0" encoding="utf-8"?>
<sst xmlns="http://schemas.openxmlformats.org/spreadsheetml/2006/main" count="71" uniqueCount="35">
  <si>
    <t>Quanto investir por mês?</t>
  </si>
  <si>
    <t>Por quantos anos?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</si>
  <si>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</si>
  <si>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</si>
  <si>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</si>
  <si>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</si>
  <si>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</si>
  <si>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</si>
  <si>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</si>
  <si>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Dividendos Mensais</t>
  </si>
  <si>
    <t>Patrimônio Acumulado</t>
  </si>
  <si>
    <t>Dividendo</t>
  </si>
  <si>
    <t>Taxa de rendimento mensal?</t>
  </si>
  <si>
    <t>Patrimônio</t>
  </si>
  <si>
    <t>Salário</t>
  </si>
  <si>
    <t>Rendimento Carteira</t>
  </si>
  <si>
    <t>CONFIGURAÇÕES</t>
  </si>
  <si>
    <t>Moderado</t>
  </si>
  <si>
    <t>Conservador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</si>
  <si>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</si>
  <si>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</si>
  <si>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</si>
  <si>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</si>
  <si>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</si>
  <si>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</si>
  <si>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</si>
  <si>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</t>
  </si>
  <si>
    <t>FOFs</t>
  </si>
  <si>
    <t>DESENVOLVIMENTO</t>
  </si>
  <si>
    <t>HOSPITALIDADE</t>
  </si>
  <si>
    <t>TOTAL</t>
  </si>
  <si>
    <t>%</t>
  </si>
  <si>
    <t>CHAVE</t>
  </si>
  <si>
    <t>Agressivo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</si>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</sst>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23282C"/>
      <name val="Segoe UI"/>
      <family val="2"/>
    </font>
    <font>
      <b/>
      <sz val="12"/>
      <color rgb="FF23282C"/>
      <name val="Segoe UI"/>
      <family val="2"/>
    </font>
    <font>
      <b/>
      <sz val="18"/>
      <color theme="0"/>
      <name val="Segoe UI"/>
      <family val="2"/>
    </font>
    <font>
      <b/>
      <sz val="16"/>
      <color theme="0"/>
      <name val="Segoe UI"/>
      <family val="2"/>
    </font>
    <font>
      <b/>
      <sz val="11"/>
      <color theme="0"/>
      <name val="Segoe UI"/>
      <family val="2"/>
    </font>
    <font>
      <sz val="11"/>
      <color theme="1"/>
      <name val="Segoe UI"/>
      <family val="2"/>
    </font>
    <font>
      <sz val="11"/>
      <color theme="0"/>
      <name val="Segoe UI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sz val="11"/>
      <color rgb="FF9C5700"/>
      <name val="Segoe UI"/>
      <family val="2"/>
    </font>
    <font>
      <b/>
      <sz val="11"/>
      <color theme="1"/>
      <name val="Segoe UI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7416B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0" tint="-4.9989318521683403E-2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 style="medium">
        <color rgb="FFFBFBFB"/>
      </right>
      <top/>
      <bottom style="medium">
        <color rgb="FFFBFBFB"/>
      </bottom>
      <diagonal/>
    </border>
    <border>
      <left style="medium">
        <color rgb="FFFBFBFB"/>
      </left>
      <right style="medium">
        <color rgb="FFFBFBFB"/>
      </right>
      <top/>
      <bottom style="medium">
        <color rgb="FFFBFBFB"/>
      </bottom>
      <diagonal/>
    </border>
    <border>
      <left style="medium">
        <color rgb="FFFBFBFB"/>
      </left>
      <right style="medium">
        <color theme="4" tint="-0.499984740745262"/>
      </right>
      <top/>
      <bottom style="medium">
        <color rgb="FFFBFBFB"/>
      </bottom>
      <diagonal/>
    </border>
    <border>
      <left style="medium">
        <color theme="4" tint="-0.499984740745262"/>
      </left>
      <right style="medium">
        <color rgb="FFFBFBFB"/>
      </right>
      <top style="medium">
        <color rgb="FFFBFBFB"/>
      </top>
      <bottom style="medium">
        <color rgb="FFFBFBFB"/>
      </bottom>
      <diagonal/>
    </border>
    <border>
      <left style="medium">
        <color rgb="FFFBFBFB"/>
      </left>
      <right style="medium">
        <color rgb="FFFBFBFB"/>
      </right>
      <top style="medium">
        <color rgb="FFFBFBFB"/>
      </top>
      <bottom style="medium">
        <color rgb="FFFBFBFB"/>
      </bottom>
      <diagonal/>
    </border>
    <border>
      <left style="medium">
        <color rgb="FFFBFBFB"/>
      </left>
      <right style="medium">
        <color theme="4" tint="-0.499984740745262"/>
      </right>
      <top style="medium">
        <color rgb="FFFBFBFB"/>
      </top>
      <bottom style="medium">
        <color rgb="FFFBFBFB"/>
      </bottom>
      <diagonal/>
    </border>
    <border>
      <left style="medium">
        <color theme="4" tint="-0.499984740745262"/>
      </left>
      <right style="medium">
        <color rgb="FFFBFBFB"/>
      </right>
      <top style="medium">
        <color rgb="FFFBFBFB"/>
      </top>
      <bottom style="medium">
        <color theme="4" tint="-0.499984740745262"/>
      </bottom>
      <diagonal/>
    </border>
    <border>
      <left style="medium">
        <color rgb="FFFBFBFB"/>
      </left>
      <right style="medium">
        <color rgb="FFFBFBFB"/>
      </right>
      <top style="medium">
        <color rgb="FFFBFBFB"/>
      </top>
      <bottom style="medium">
        <color theme="4" tint="-0.499984740745262"/>
      </bottom>
      <diagonal/>
    </border>
    <border>
      <left style="medium">
        <color rgb="FFFBFBFB"/>
      </left>
      <right style="medium">
        <color theme="4" tint="-0.499984740745262"/>
      </right>
      <top style="medium">
        <color rgb="FFFBFBFB"/>
      </top>
      <bottom style="medium">
        <color theme="4" tint="-0.499984740745262"/>
      </bottom>
      <diagonal/>
    </border>
    <border>
      <left style="medium">
        <color rgb="FFFFC000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rgb="FFFFC000"/>
      </right>
      <top/>
      <bottom style="medium">
        <color theme="0" tint="-4.9989318521683403E-2"/>
      </bottom>
      <diagonal/>
    </border>
    <border>
      <left style="medium">
        <color rgb="FFFFC000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rgb="FFFFC000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rgb="FFFFC000"/>
      </left>
      <right style="medium">
        <color theme="0" tint="-4.9989318521683403E-2"/>
      </right>
      <top style="medium">
        <color theme="0" tint="-4.9989318521683403E-2"/>
      </top>
      <bottom style="medium">
        <color rgb="FFFFC000"/>
      </bottom>
      <diagonal/>
    </border>
    <border>
      <left style="medium">
        <color theme="0" tint="-4.9989318521683403E-2"/>
      </left>
      <right style="medium">
        <color rgb="FFFFC000"/>
      </right>
      <top style="medium">
        <color theme="0" tint="-4.9989318521683403E-2"/>
      </top>
      <bottom style="medium">
        <color rgb="FFFFC000"/>
      </bottom>
      <diagonal/>
    </border>
    <border>
      <left style="medium">
        <color theme="3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3"/>
      </right>
      <top/>
      <bottom style="medium">
        <color theme="0" tint="-4.9989318521683403E-2"/>
      </bottom>
      <diagonal/>
    </border>
    <border>
      <left style="medium">
        <color theme="3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3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3"/>
      </left>
      <right style="medium">
        <color theme="0" tint="-4.9989318521683403E-2"/>
      </right>
      <top style="medium">
        <color theme="0" tint="-4.9989318521683403E-2"/>
      </top>
      <bottom style="medium">
        <color theme="3"/>
      </bottom>
      <diagonal/>
    </border>
    <border>
      <left style="medium">
        <color theme="0" tint="-4.9989318521683403E-2"/>
      </left>
      <right style="medium">
        <color theme="3"/>
      </right>
      <top style="medium">
        <color theme="0" tint="-4.9989318521683403E-2"/>
      </top>
      <bottom style="medium">
        <color theme="3"/>
      </bottom>
      <diagonal/>
    </border>
    <border>
      <left style="medium">
        <color rgb="FFFFC000"/>
      </left>
      <right/>
      <top/>
      <bottom/>
      <diagonal/>
    </border>
    <border>
      <left/>
      <right/>
      <top style="medium">
        <color theme="3"/>
      </top>
      <bottom/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3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rgb="FFFFC00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6">
    <xf numFmtId="0" fontId="0" fillId="0" borderId="0" xfId="0"/>
    <xf numFmtId="0" fontId="3" fillId="0" borderId="0" xfId="0" applyFont="1"/>
    <xf numFmtId="0" fontId="9" fillId="0" borderId="0" xfId="0" applyFont="1" applyAlignment="1">
      <alignment vertical="center"/>
    </xf>
    <xf numFmtId="164" fontId="11" fillId="0" borderId="18" xfId="0" applyNumberFormat="1" applyFont="1" applyBorder="1" applyAlignment="1">
      <alignment horizontal="center"/>
    </xf>
    <xf numFmtId="10" fontId="11" fillId="0" borderId="20" xfId="0" applyNumberFormat="1" applyFont="1" applyBorder="1" applyAlignment="1">
      <alignment horizontal="center"/>
    </xf>
    <xf numFmtId="0" fontId="9" fillId="0" borderId="0" xfId="0" applyFont="1"/>
    <xf numFmtId="164" fontId="12" fillId="0" borderId="24" xfId="1" applyNumberFormat="1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10" fontId="12" fillId="0" borderId="26" xfId="2" applyNumberFormat="1" applyFont="1" applyBorder="1" applyAlignment="1">
      <alignment horizontal="center"/>
    </xf>
    <xf numFmtId="164" fontId="12" fillId="3" borderId="26" xfId="0" applyNumberFormat="1" applyFont="1" applyFill="1" applyBorder="1" applyAlignment="1">
      <alignment horizontal="center"/>
    </xf>
    <xf numFmtId="164" fontId="12" fillId="3" borderId="28" xfId="0" applyNumberFormat="1" applyFont="1" applyFill="1" applyBorder="1" applyAlignment="1">
      <alignment horizontal="center"/>
    </xf>
    <xf numFmtId="164" fontId="11" fillId="3" borderId="9" xfId="0" applyNumberFormat="1" applyFont="1" applyFill="1" applyBorder="1" applyAlignment="1">
      <alignment horizontal="center"/>
    </xf>
    <xf numFmtId="164" fontId="11" fillId="3" borderId="10" xfId="0" applyNumberFormat="1" applyFont="1" applyFill="1" applyBorder="1" applyAlignment="1">
      <alignment horizontal="center"/>
    </xf>
    <xf numFmtId="164" fontId="11" fillId="3" borderId="12" xfId="0" applyNumberFormat="1" applyFont="1" applyFill="1" applyBorder="1" applyAlignment="1">
      <alignment horizontal="center"/>
    </xf>
    <xf numFmtId="164" fontId="11" fillId="3" borderId="13" xfId="0" applyNumberFormat="1" applyFont="1" applyFill="1" applyBorder="1" applyAlignment="1">
      <alignment horizontal="center"/>
    </xf>
    <xf numFmtId="164" fontId="11" fillId="3" borderId="15" xfId="0" applyNumberFormat="1" applyFont="1" applyFill="1" applyBorder="1" applyAlignment="1">
      <alignment horizontal="center"/>
    </xf>
    <xf numFmtId="164" fontId="11" fillId="3" borderId="16" xfId="0" applyNumberFormat="1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164" fontId="11" fillId="6" borderId="22" xfId="0" applyNumberFormat="1" applyFont="1" applyFill="1" applyBorder="1" applyAlignment="1">
      <alignment horizontal="center"/>
    </xf>
    <xf numFmtId="0" fontId="13" fillId="2" borderId="0" xfId="3" applyFont="1" applyBorder="1" applyAlignment="1">
      <alignment horizontal="left" vertical="center"/>
    </xf>
    <xf numFmtId="0" fontId="14" fillId="6" borderId="0" xfId="0" applyFont="1" applyFill="1"/>
    <xf numFmtId="164" fontId="14" fillId="6" borderId="0" xfId="0" applyNumberFormat="1" applyFont="1" applyFill="1" applyAlignment="1">
      <alignment horizontal="center"/>
    </xf>
    <xf numFmtId="0" fontId="9" fillId="0" borderId="0" xfId="0" applyFont="1" applyAlignment="1">
      <alignment horizontal="center"/>
    </xf>
    <xf numFmtId="9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14" fillId="6" borderId="0" xfId="0" applyFont="1" applyFill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9" fontId="10" fillId="0" borderId="0" xfId="0" applyNumberFormat="1" applyFont="1" applyAlignment="1">
      <alignment horizontal="center"/>
    </xf>
    <xf numFmtId="9" fontId="9" fillId="0" borderId="0" xfId="2" applyFont="1" applyAlignment="1">
      <alignment horizontal="center"/>
    </xf>
    <xf numFmtId="0" fontId="5" fillId="3" borderId="8" xfId="0" applyFont="1" applyFill="1" applyBorder="1" applyAlignment="1">
      <alignment horizontal="left" vertical="center" indent="3"/>
    </xf>
    <xf numFmtId="0" fontId="5" fillId="3" borderId="11" xfId="0" applyFont="1" applyFill="1" applyBorder="1" applyAlignment="1">
      <alignment horizontal="left" vertical="center" indent="3"/>
    </xf>
    <xf numFmtId="0" fontId="5" fillId="3" borderId="14" xfId="0" applyFont="1" applyFill="1" applyBorder="1" applyAlignment="1">
      <alignment horizontal="left" vertical="center" indent="3"/>
    </xf>
    <xf numFmtId="0" fontId="7" fillId="5" borderId="5" xfId="0" applyFont="1" applyFill="1" applyBorder="1" applyAlignment="1">
      <alignment vertical="center"/>
    </xf>
    <xf numFmtId="164" fontId="14" fillId="6" borderId="0" xfId="0" applyNumberFormat="1" applyFont="1" applyFill="1" applyAlignment="1">
      <alignment horizontal="center"/>
    </xf>
    <xf numFmtId="0" fontId="4" fillId="6" borderId="23" xfId="0" applyFont="1" applyFill="1" applyBorder="1" applyAlignment="1">
      <alignment horizontal="left" vertical="center" indent="3"/>
    </xf>
    <xf numFmtId="0" fontId="4" fillId="6" borderId="3" xfId="0" applyFont="1" applyFill="1" applyBorder="1" applyAlignment="1">
      <alignment horizontal="left" vertical="center" indent="3"/>
    </xf>
    <xf numFmtId="0" fontId="4" fillId="6" borderId="25" xfId="0" applyFont="1" applyFill="1" applyBorder="1" applyAlignment="1">
      <alignment horizontal="left" vertical="center" indent="3"/>
    </xf>
    <xf numFmtId="0" fontId="4" fillId="6" borderId="4" xfId="0" applyFont="1" applyFill="1" applyBorder="1" applyAlignment="1">
      <alignment horizontal="left" vertical="center" indent="3"/>
    </xf>
    <xf numFmtId="0" fontId="5" fillId="3" borderId="25" xfId="0" applyFont="1" applyFill="1" applyBorder="1" applyAlignment="1">
      <alignment horizontal="left" vertical="center" indent="3"/>
    </xf>
    <xf numFmtId="0" fontId="5" fillId="3" borderId="4" xfId="0" applyFont="1" applyFill="1" applyBorder="1" applyAlignment="1">
      <alignment horizontal="left" vertical="center" indent="3"/>
    </xf>
    <xf numFmtId="0" fontId="5" fillId="3" borderId="27" xfId="0" applyFont="1" applyFill="1" applyBorder="1" applyAlignment="1">
      <alignment horizontal="left" vertical="center" indent="3"/>
    </xf>
    <xf numFmtId="0" fontId="5" fillId="3" borderId="31" xfId="0" applyFont="1" applyFill="1" applyBorder="1" applyAlignment="1">
      <alignment horizontal="left" vertical="center" indent="3"/>
    </xf>
    <xf numFmtId="0" fontId="13" fillId="2" borderId="0" xfId="3" applyFont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6" fillId="5" borderId="30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4" borderId="29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1" fillId="6" borderId="17" xfId="0" applyFont="1" applyFill="1" applyBorder="1" applyAlignment="1">
      <alignment horizontal="left" indent="3"/>
    </xf>
    <xf numFmtId="0" fontId="11" fillId="6" borderId="3" xfId="0" applyFont="1" applyFill="1" applyBorder="1" applyAlignment="1">
      <alignment horizontal="left" indent="3"/>
    </xf>
    <xf numFmtId="0" fontId="11" fillId="6" borderId="19" xfId="0" applyFont="1" applyFill="1" applyBorder="1" applyAlignment="1">
      <alignment horizontal="left" indent="3"/>
    </xf>
    <xf numFmtId="0" fontId="11" fillId="6" borderId="4" xfId="0" applyFont="1" applyFill="1" applyBorder="1" applyAlignment="1">
      <alignment horizontal="left" indent="3"/>
    </xf>
    <xf numFmtId="0" fontId="11" fillId="6" borderId="21" xfId="0" applyFont="1" applyFill="1" applyBorder="1" applyAlignment="1">
      <alignment horizontal="left" indent="3"/>
    </xf>
    <xf numFmtId="0" fontId="11" fillId="6" borderId="32" xfId="0" applyFont="1" applyFill="1" applyBorder="1" applyAlignment="1">
      <alignment horizontal="left" indent="3"/>
    </xf>
  </cellXfs>
  <cellStyles count="4">
    <cellStyle name="Currency" xfId="1" builtinId="4"/>
    <cellStyle name="Neutral" xfId="3" builtinId="2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17416B"/>
      <color rgb="FFFBFBFB"/>
      <color rgb="FFC49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Simulador!$C$37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Simulador!$B$38:$B$43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HOSPITALIDADE</c:v>
                </c:pt>
              </c:strCache>
            </c:strRef>
          </c:cat>
          <c:val>
            <c:numRef>
              <c:f>Simulador!$C$38:$C$43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3-4EEB-8E0E-75C6C2B01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156352</xdr:colOff>
      <xdr:row>1</xdr:row>
      <xdr:rowOff>14496</xdr:rowOff>
    </xdr:from>
    <xdr:to>
      <xdr:col>3</xdr:col>
      <xdr:colOff>1070162</xdr:colOff>
      <xdr:row>11</xdr:row>
      <xdr:rowOff>120935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6E9CA5-CE7C-89BF-902B-A9E26234D6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6" t="28049" b="29394"/>
        <a:stretch>
          <a:fillRect/>
        </a:stretch>
      </xdr:blipFill>
      <xdr:spPr>
        <a:xfrm>
          <a:off x="761470" y="204996"/>
          <a:ext cx="5676310" cy="2011439"/>
        </a:xfrm>
        <a:prstGeom prst="roundRect">
          <a:avLst/>
        </a:prstGeom>
        <a:ln w="57150">
          <a:solidFill>
            <a:schemeClr val="tx2"/>
          </a:solidFill>
        </a:ln>
      </xdr:spPr>
    </xdr:pic>
    <xdr:clientData/>
  </xdr:twoCellAnchor>
  <xdr:twoCellAnchor>
    <xdr:from>
      <xdr:col>1</xdr:col>
      <xdr:colOff>565896</xdr:colOff>
      <xdr:row>45</xdr:row>
      <xdr:rowOff>29136</xdr:rowOff>
    </xdr:from>
    <xdr:to>
      <xdr:col>3</xdr:col>
      <xdr:colOff>375396</xdr:colOff>
      <xdr:row>58</xdr:row>
      <xdr:rowOff>71718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FEA975-BAD9-DB2E-0596-A8B19EFE92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8C83D-5AF4-4F44-B4F5-FCCE9220A2FB}">
  <dimension ref="A14:G69"/>
  <sheetViews>
    <sheetView showGridLines="0" tabSelected="1" topLeftCell="A24" zoomScale="85" zoomScaleNormal="85" workbookViewId="0">
      <selection activeCell="E57" sqref="E57"/>
    </sheetView>
  </sheetViews>
  <sheetFormatPr defaultColWidth="0" defaultRowHeight="15" x14ac:dyDescent="0.25"/>
  <cols>
    <col min="1" max="1" width="9.140625" customWidth="1"/>
    <col min="2" max="2" width="37.28515625" bestFit="1" customWidth="1"/>
    <col min="3" max="3" width="34.140625" bestFit="1" customWidth="1"/>
    <col min="4" max="4" width="17.140625" customWidth="1"/>
    <col min="5" max="5" width="9" customWidth="1"/>
    <col min="6" max="6" width="11.42578125" hidden="1" customWidth="1"/>
    <col min="7" max="11" width="9.140625" hidden="1" customWidth="1"/>
    <col min="12" max="16384" width="9.140625" hidden="1"/>
  </cols>
  <sheetData>
    <row r="14" spans="2:4" ht="30" customHeight="1" x14ac:dyDescent="0.25">
      <c r="B14" s="48" t="s">
        <v>16</v>
      </c>
      <c r="C14" s="49"/>
      <c r="D14" s="49"/>
    </row>
    <row r="15" spans="2:4" ht="18" thickBot="1" x14ac:dyDescent="0.35">
      <c r="B15" s="50" t="s">
        <v>14</v>
      </c>
      <c r="C15" s="51"/>
      <c r="D15" s="3">
        <v>2000</v>
      </c>
    </row>
    <row r="16" spans="2:4" ht="18" thickBot="1" x14ac:dyDescent="0.35">
      <c r="B16" s="52" t="s">
        <v>15</v>
      </c>
      <c r="C16" s="53"/>
      <c r="D16" s="4">
        <v>6.0000000000000001E-3</v>
      </c>
    </row>
    <row r="17" spans="1:7" ht="18" thickBot="1" x14ac:dyDescent="0.35">
      <c r="B17" s="54" t="s">
        <v>34</v>
      </c>
      <c r="C17" s="55"/>
      <c r="D17" s="19">
        <f>D15*30%</f>
        <v>600</v>
      </c>
    </row>
    <row r="18" spans="1:7" ht="17.25" thickBot="1" x14ac:dyDescent="0.35">
      <c r="B18" s="5"/>
      <c r="C18" s="5"/>
      <c r="D18" s="5"/>
    </row>
    <row r="19" spans="1:7" ht="26.25" x14ac:dyDescent="0.25">
      <c r="B19" s="45" t="s">
        <v>2</v>
      </c>
      <c r="C19" s="46"/>
      <c r="D19" s="47"/>
      <c r="G19" s="2"/>
    </row>
    <row r="20" spans="1:7" ht="18" thickBot="1" x14ac:dyDescent="0.35">
      <c r="B20" s="36" t="s">
        <v>0</v>
      </c>
      <c r="C20" s="37"/>
      <c r="D20" s="6">
        <v>200</v>
      </c>
    </row>
    <row r="21" spans="1:7" ht="18" thickBot="1" x14ac:dyDescent="0.35">
      <c r="B21" s="38" t="s">
        <v>1</v>
      </c>
      <c r="C21" s="39"/>
      <c r="D21" s="7">
        <v>5</v>
      </c>
    </row>
    <row r="22" spans="1:7" ht="18" thickBot="1" x14ac:dyDescent="0.35">
      <c r="B22" s="38" t="s">
        <v>12</v>
      </c>
      <c r="C22" s="39"/>
      <c r="D22" s="8">
        <v>1.0789999999999999E-2</v>
      </c>
    </row>
    <row r="23" spans="1:7" ht="18" thickBot="1" x14ac:dyDescent="0.35">
      <c r="B23" s="40" t="s">
        <v>10</v>
      </c>
      <c r="C23" s="41"/>
      <c r="D23" s="9">
        <f>FV(taxa_mensal,qtd_anos*12,aporte_mensal*-1)</f>
        <v>16755.382799697527</v>
      </c>
    </row>
    <row r="24" spans="1:7" ht="18" thickBot="1" x14ac:dyDescent="0.35">
      <c r="B24" s="42" t="s">
        <v>9</v>
      </c>
      <c r="C24" s="43"/>
      <c r="D24" s="10">
        <f>patrimonio*rendimento_carteira</f>
        <v>100.53229679818516</v>
      </c>
    </row>
    <row r="25" spans="1:7" ht="17.25" thickBot="1" x14ac:dyDescent="0.35">
      <c r="B25" s="5"/>
      <c r="C25" s="5"/>
      <c r="D25" s="5"/>
    </row>
    <row r="26" spans="1:7" ht="25.5" x14ac:dyDescent="0.25">
      <c r="B26" s="34" t="s">
        <v>8</v>
      </c>
      <c r="C26" s="17" t="s">
        <v>13</v>
      </c>
      <c r="D26" s="18" t="s">
        <v>11</v>
      </c>
    </row>
    <row r="27" spans="1:7" ht="18" thickBot="1" x14ac:dyDescent="0.35">
      <c r="A27" s="1">
        <v>2</v>
      </c>
      <c r="B27" s="31" t="s">
        <v>3</v>
      </c>
      <c r="C27" s="11">
        <f>FV(taxa_mensal,$A27*12,investimento_mensal*-1)</f>
        <v>5445.5254595290435</v>
      </c>
      <c r="D27" s="12">
        <f>C27*rendimento_carteira</f>
        <v>32.673152757174265</v>
      </c>
    </row>
    <row r="28" spans="1:7" ht="18" thickBot="1" x14ac:dyDescent="0.35">
      <c r="A28" s="1">
        <v>5</v>
      </c>
      <c r="B28" s="32" t="s">
        <v>4</v>
      </c>
      <c r="C28" s="13">
        <f>FV(taxa_mensal,$A28*12,investimento_mensal*-1)</f>
        <v>16755.382799697527</v>
      </c>
      <c r="D28" s="14">
        <f>C28*rendimento_carteira</f>
        <v>100.53229679818516</v>
      </c>
    </row>
    <row r="29" spans="1:7" ht="18" thickBot="1" x14ac:dyDescent="0.35">
      <c r="A29" s="1">
        <v>10</v>
      </c>
      <c r="B29" s="32" t="s">
        <v>5</v>
      </c>
      <c r="C29" s="13">
        <f>FV(taxa_mensal,$A29*12,investimento_mensal*-1)</f>
        <v>48656.842506034438</v>
      </c>
      <c r="D29" s="14">
        <f>C29*rendimento_carteira</f>
        <v>291.94105503620665</v>
      </c>
    </row>
    <row r="30" spans="1:7" ht="18" thickBot="1" x14ac:dyDescent="0.35">
      <c r="A30" s="1">
        <v>20</v>
      </c>
      <c r="B30" s="32" t="s">
        <v>6</v>
      </c>
      <c r="C30" s="13">
        <f>FV(taxa_mensal,$A30*12,investimento_mensal*-1)</f>
        <v>225039.68001941612</v>
      </c>
      <c r="D30" s="14">
        <f>C30*rendimento_carteira</f>
        <v>1350.2380801164968</v>
      </c>
    </row>
    <row r="31" spans="1:7" ht="18" thickBot="1" x14ac:dyDescent="0.35">
      <c r="A31" s="1">
        <v>30</v>
      </c>
      <c r="B31" s="33" t="s">
        <v>7</v>
      </c>
      <c r="C31" s="15">
        <f>FV(taxa_mensal,$A31*12,investimento_mensal*-1)</f>
        <v>864433.93100094295</v>
      </c>
      <c r="D31" s="16">
        <f>C31*rendimento_carteira</f>
        <v>5186.6035860056581</v>
      </c>
    </row>
    <row r="32" spans="1:7" ht="16.5" x14ac:dyDescent="0.3">
      <c r="B32" s="5"/>
      <c r="C32" s="5"/>
      <c r="D32" s="5"/>
    </row>
    <row r="33" spans="1:5" ht="16.5" x14ac:dyDescent="0.3">
      <c r="A33" s="5"/>
      <c r="B33" s="5"/>
      <c r="C33" s="5"/>
      <c r="D33" s="5"/>
      <c r="E33" s="5"/>
    </row>
    <row r="34" spans="1:5" ht="16.5" x14ac:dyDescent="0.3">
      <c r="A34" s="5"/>
      <c r="B34" s="20" t="s">
        <v>20</v>
      </c>
      <c r="C34" s="44" t="s">
        <v>17</v>
      </c>
      <c r="D34" s="44"/>
      <c r="E34" s="5"/>
    </row>
    <row r="35" spans="1:5" ht="16.5" x14ac:dyDescent="0.3">
      <c r="A35" s="5"/>
      <c r="B35" s="21" t="s">
        <v>19</v>
      </c>
      <c r="C35" s="35">
        <f>aporte_mensal</f>
        <v>200</v>
      </c>
      <c r="D35" s="35"/>
      <c r="E35" s="5"/>
    </row>
    <row r="36" spans="1:5" ht="16.5" x14ac:dyDescent="0.3">
      <c r="A36" s="5"/>
      <c r="B36" s="5"/>
      <c r="C36" s="5"/>
      <c r="D36" s="5"/>
      <c r="E36" s="5"/>
    </row>
    <row r="37" spans="1:5" ht="16.5" x14ac:dyDescent="0.3">
      <c r="A37" s="5"/>
      <c r="B37" s="26" t="s">
        <v>21</v>
      </c>
      <c r="C37" s="26" t="s">
        <v>22</v>
      </c>
      <c r="D37" s="26" t="s">
        <v>23</v>
      </c>
      <c r="E37" s="5"/>
    </row>
    <row r="38" spans="1:5" ht="16.5" x14ac:dyDescent="0.3">
      <c r="A38" s="29" t="str">
        <f t="shared" ref="A38:A43" si="0">_xlfn.CONCAT(Perfil,"-",B38)</f>
        <v>Moderado-PAPEL</v>
      </c>
      <c r="B38" s="23" t="s">
        <v>24</v>
      </c>
      <c r="C38" s="30">
        <f>VLOOKUP(_xlfn.CONCAT(Perfil,"-",B38),'tabela apoio'!$A$2:$D$20,4,0)</f>
        <v>0.32</v>
      </c>
      <c r="D38" s="25">
        <f t="shared" ref="D38:D43" si="1">IF(aporte_mensal*C38=0,"-",aporte_mensal*C38)</f>
        <v>64</v>
      </c>
      <c r="E38" s="5"/>
    </row>
    <row r="39" spans="1:5" ht="16.5" x14ac:dyDescent="0.3">
      <c r="A39" s="29" t="str">
        <f t="shared" si="0"/>
        <v>Moderado-TIJOLO</v>
      </c>
      <c r="B39" s="23" t="s">
        <v>25</v>
      </c>
      <c r="C39" s="30">
        <f>VLOOKUP(_xlfn.CONCAT(Perfil,"-",B39),'tabela apoio'!$A$2:$D$20,4,0)</f>
        <v>0.35</v>
      </c>
      <c r="D39" s="25">
        <f t="shared" si="1"/>
        <v>70</v>
      </c>
      <c r="E39" s="5"/>
    </row>
    <row r="40" spans="1:5" ht="16.5" x14ac:dyDescent="0.3">
      <c r="A40" s="29" t="str">
        <f t="shared" si="0"/>
        <v>Moderado-HÍBRIDO</v>
      </c>
      <c r="B40" s="23" t="s">
        <v>26</v>
      </c>
      <c r="C40" s="30">
        <f>VLOOKUP(_xlfn.CONCAT(Perfil,"-",B40),'tabela apoio'!$A$2:$D$20,4,0)</f>
        <v>0.08</v>
      </c>
      <c r="D40" s="25">
        <f t="shared" si="1"/>
        <v>16</v>
      </c>
      <c r="E40" s="5"/>
    </row>
    <row r="41" spans="1:5" ht="16.5" x14ac:dyDescent="0.3">
      <c r="A41" s="29" t="str">
        <f t="shared" si="0"/>
        <v>Moderado-FOFs</v>
      </c>
      <c r="B41" s="23" t="s">
        <v>27</v>
      </c>
      <c r="C41" s="30">
        <f>VLOOKUP(_xlfn.CONCAT(Perfil,"-",B41),'tabela apoio'!$A$2:$D$20,4,0)</f>
        <v>0.05</v>
      </c>
      <c r="D41" s="25">
        <f t="shared" si="1"/>
        <v>10</v>
      </c>
      <c r="E41" s="5"/>
    </row>
    <row r="42" spans="1:5" ht="16.5" x14ac:dyDescent="0.3">
      <c r="A42" s="29" t="str">
        <f t="shared" si="0"/>
        <v>Moderado-DESENVOLVIMENTO</v>
      </c>
      <c r="B42" s="23" t="s">
        <v>28</v>
      </c>
      <c r="C42" s="30">
        <f>VLOOKUP(_xlfn.CONCAT(Perfil,"-",B42),'tabela apoio'!$A$2:$D$20,4,0)</f>
        <v>0.1</v>
      </c>
      <c r="D42" s="25">
        <f t="shared" si="1"/>
        <v>20</v>
      </c>
      <c r="E42" s="5"/>
    </row>
    <row r="43" spans="1:5" ht="16.5" x14ac:dyDescent="0.3">
      <c r="A43" s="29" t="str">
        <f t="shared" si="0"/>
        <v>Moderado-HOSPITALIDADE</v>
      </c>
      <c r="B43" s="23" t="s">
        <v>29</v>
      </c>
      <c r="C43" s="30">
        <f>VLOOKUP(_xlfn.CONCAT(Perfil,"-",B43),'tabela apoio'!$A$2:$D$20,4,0)</f>
        <v>0.1</v>
      </c>
      <c r="D43" s="25">
        <f t="shared" si="1"/>
        <v>20</v>
      </c>
      <c r="E43" s="5"/>
    </row>
    <row r="44" spans="1:5" ht="16.5" x14ac:dyDescent="0.3">
      <c r="A44" s="5"/>
      <c r="B44" s="21" t="s">
        <v>30</v>
      </c>
      <c r="C44" s="21"/>
      <c r="D44" s="22">
        <f>SUM(D38:D43)</f>
        <v>200</v>
      </c>
      <c r="E44" s="5"/>
    </row>
    <row r="45" spans="1:5" ht="16.5" x14ac:dyDescent="0.3">
      <c r="A45" s="5"/>
      <c r="B45" s="5"/>
      <c r="C45" s="5"/>
      <c r="D45" s="5"/>
      <c r="E45" s="5"/>
    </row>
    <row r="46" spans="1:5" ht="16.5" x14ac:dyDescent="0.3">
      <c r="A46" s="5"/>
      <c r="B46" s="5"/>
      <c r="C46" s="5"/>
      <c r="D46" s="5"/>
      <c r="E46" s="5"/>
    </row>
    <row r="47" spans="1:5" ht="16.5" x14ac:dyDescent="0.3">
      <c r="A47" s="5"/>
      <c r="B47" s="5"/>
      <c r="C47" s="5"/>
      <c r="D47" s="5"/>
      <c r="E47" s="5"/>
    </row>
    <row r="48" spans="1:5" ht="16.5" x14ac:dyDescent="0.3">
      <c r="A48" s="5"/>
      <c r="B48" s="5"/>
      <c r="C48" s="5"/>
      <c r="D48" s="5"/>
      <c r="E48" s="5"/>
    </row>
    <row r="49" spans="1:5" ht="16.5" x14ac:dyDescent="0.3">
      <c r="A49" s="5"/>
      <c r="B49" s="5"/>
      <c r="C49" s="5"/>
      <c r="D49" s="5"/>
      <c r="E49" s="5"/>
    </row>
    <row r="50" spans="1:5" ht="16.5" x14ac:dyDescent="0.3">
      <c r="A50" s="5"/>
      <c r="B50" s="5"/>
      <c r="C50" s="5"/>
      <c r="D50" s="5"/>
      <c r="E50" s="5"/>
    </row>
    <row r="51" spans="1:5" ht="16.5" x14ac:dyDescent="0.3">
      <c r="A51" s="5"/>
      <c r="B51" s="5"/>
      <c r="C51" s="5"/>
      <c r="D51" s="5"/>
      <c r="E51" s="5"/>
    </row>
    <row r="52" spans="1:5" ht="16.5" x14ac:dyDescent="0.3">
      <c r="A52" s="5"/>
      <c r="B52" s="5"/>
      <c r="C52" s="5"/>
      <c r="D52" s="5"/>
      <c r="E52" s="5"/>
    </row>
    <row r="53" spans="1:5" ht="16.5" x14ac:dyDescent="0.3">
      <c r="A53" s="5"/>
      <c r="B53" s="5"/>
      <c r="C53" s="5"/>
      <c r="D53" s="5"/>
      <c r="E53" s="5"/>
    </row>
    <row r="54" spans="1:5" ht="16.5" x14ac:dyDescent="0.3">
      <c r="A54" s="5"/>
      <c r="B54" s="5"/>
      <c r="C54" s="5"/>
      <c r="D54" s="5"/>
      <c r="E54" s="5"/>
    </row>
    <row r="55" spans="1:5" ht="16.5" x14ac:dyDescent="0.3">
      <c r="A55" s="5"/>
      <c r="B55" s="5"/>
      <c r="C55" s="5"/>
      <c r="D55" s="5"/>
      <c r="E55" s="5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</sheetData>
  <mergeCells count="12">
    <mergeCell ref="B19:D19"/>
    <mergeCell ref="B14:D14"/>
    <mergeCell ref="B15:C15"/>
    <mergeCell ref="B16:C16"/>
    <mergeCell ref="B17:C17"/>
    <mergeCell ref="C35:D35"/>
    <mergeCell ref="B20:C20"/>
    <mergeCell ref="B21:C21"/>
    <mergeCell ref="B22:C22"/>
    <mergeCell ref="B23:C23"/>
    <mergeCell ref="B24:C24"/>
    <mergeCell ref="C34:D34"/>
  </mergeCells>
  <dataValidations count="1">
    <dataValidation type="list" allowBlank="1" showInputMessage="1" showErrorMessage="1" sqref="C34" xr:uid="{4455C2F8-A14C-49BA-BB7C-FF46DE0B7F67}">
      <formula1>" 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53975-BBB3-45E8-84BC-EBBF7470B7A0}">
  <dimension ref="A2:D20"/>
  <sheetViews>
    <sheetView workbookViewId="0">
      <selection activeCell="D13" sqref="D13"/>
    </sheetView>
  </sheetViews>
  <sheetFormatPr defaultColWidth="8.85546875" defaultRowHeight="13.5" x14ac:dyDescent="0.25"/>
  <cols>
    <col min="1" max="1" width="27.140625" style="27" bestFit="1" customWidth="1"/>
    <col min="2" max="2" width="13.140625" style="27" bestFit="1" customWidth="1"/>
    <col min="3" max="3" width="20.85546875" style="27" bestFit="1" customWidth="1"/>
    <col min="4" max="16384" width="8.85546875" style="27"/>
  </cols>
  <sheetData>
    <row r="2" spans="1:4" x14ac:dyDescent="0.25">
      <c r="A2" s="27" t="s">
        <v>32</v>
      </c>
      <c r="B2" s="28" t="s">
        <v>20</v>
      </c>
      <c r="C2" s="28" t="s">
        <v>21</v>
      </c>
      <c r="D2" s="28" t="s">
        <v>31</v>
      </c>
    </row>
    <row r="3" spans="1:4" ht="16.5" x14ac:dyDescent="0.3">
      <c r="A3" s="27" t="str">
        <f>_xlfn.CONCAT(B3,"-",C3)</f>
        <v>Conservador-PAPEL</v>
      </c>
      <c r="B3" s="27" t="s">
        <v>18</v>
      </c>
      <c r="C3" s="23" t="s">
        <v>24</v>
      </c>
      <c r="D3" s="24">
        <v>0.3</v>
      </c>
    </row>
    <row r="4" spans="1:4" ht="16.5" x14ac:dyDescent="0.3">
      <c r="A4" s="27" t="str">
        <f t="shared" ref="A4:A20" si="0">_xlfn.CONCAT(B4,"-",C4)</f>
        <v>Conservador-TIJOLO</v>
      </c>
      <c r="B4" s="27" t="s">
        <v>18</v>
      </c>
      <c r="C4" s="23" t="s">
        <v>25</v>
      </c>
      <c r="D4" s="24">
        <v>0.5</v>
      </c>
    </row>
    <row r="5" spans="1:4" ht="16.5" x14ac:dyDescent="0.3">
      <c r="A5" s="27" t="str">
        <f t="shared" si="0"/>
        <v>Conservador-HÍBRIDO</v>
      </c>
      <c r="B5" s="27" t="s">
        <v>18</v>
      </c>
      <c r="C5" s="23" t="s">
        <v>26</v>
      </c>
      <c r="D5" s="24">
        <v>0.1</v>
      </c>
    </row>
    <row r="6" spans="1:4" ht="16.5" x14ac:dyDescent="0.3">
      <c r="A6" s="27" t="str">
        <f t="shared" si="0"/>
        <v>Conservador-FOFs</v>
      </c>
      <c r="B6" s="27" t="s">
        <v>18</v>
      </c>
      <c r="C6" s="23" t="s">
        <v>27</v>
      </c>
      <c r="D6" s="24">
        <v>0.1</v>
      </c>
    </row>
    <row r="7" spans="1:4" ht="16.5" x14ac:dyDescent="0.3">
      <c r="A7" s="27" t="str">
        <f t="shared" si="0"/>
        <v>Conservador-DESENVOLVIMENTO</v>
      </c>
      <c r="B7" s="27" t="s">
        <v>18</v>
      </c>
      <c r="C7" s="23" t="s">
        <v>28</v>
      </c>
      <c r="D7" s="24">
        <v>0</v>
      </c>
    </row>
    <row r="8" spans="1:4" ht="16.5" x14ac:dyDescent="0.3">
      <c r="A8" s="27" t="str">
        <f t="shared" si="0"/>
        <v>Conservador-HOSPITALIDADE</v>
      </c>
      <c r="B8" s="27" t="s">
        <v>18</v>
      </c>
      <c r="C8" s="23" t="s">
        <v>29</v>
      </c>
      <c r="D8" s="24">
        <v>0</v>
      </c>
    </row>
    <row r="9" spans="1:4" ht="16.5" x14ac:dyDescent="0.3">
      <c r="A9" s="27" t="str">
        <f t="shared" si="0"/>
        <v>Moderado-PAPEL</v>
      </c>
      <c r="B9" s="27" t="s">
        <v>17</v>
      </c>
      <c r="C9" s="23" t="s">
        <v>24</v>
      </c>
      <c r="D9" s="24">
        <v>0.32</v>
      </c>
    </row>
    <row r="10" spans="1:4" ht="16.5" x14ac:dyDescent="0.3">
      <c r="A10" s="27" t="str">
        <f t="shared" si="0"/>
        <v>Moderado-TIJOLO</v>
      </c>
      <c r="B10" s="27" t="s">
        <v>17</v>
      </c>
      <c r="C10" s="23" t="s">
        <v>25</v>
      </c>
      <c r="D10" s="24">
        <v>0.35</v>
      </c>
    </row>
    <row r="11" spans="1:4" ht="16.5" x14ac:dyDescent="0.3">
      <c r="A11" s="27" t="str">
        <f t="shared" si="0"/>
        <v>Moderado-HÍBRIDO</v>
      </c>
      <c r="B11" s="27" t="s">
        <v>17</v>
      </c>
      <c r="C11" s="23" t="s">
        <v>26</v>
      </c>
      <c r="D11" s="24">
        <v>0.08</v>
      </c>
    </row>
    <row r="12" spans="1:4" ht="16.5" x14ac:dyDescent="0.3">
      <c r="A12" s="27" t="str">
        <f t="shared" si="0"/>
        <v>Moderado-FOFs</v>
      </c>
      <c r="B12" s="27" t="s">
        <v>17</v>
      </c>
      <c r="C12" s="23" t="s">
        <v>27</v>
      </c>
      <c r="D12" s="24">
        <v>0.05</v>
      </c>
    </row>
    <row r="13" spans="1:4" ht="16.5" x14ac:dyDescent="0.3">
      <c r="A13" s="27" t="str">
        <f t="shared" si="0"/>
        <v>Moderado-DESENVOLVIMENTO</v>
      </c>
      <c r="B13" s="27" t="s">
        <v>17</v>
      </c>
      <c r="C13" s="23" t="s">
        <v>28</v>
      </c>
      <c r="D13" s="24">
        <v>0.1</v>
      </c>
    </row>
    <row r="14" spans="1:4" ht="16.5" x14ac:dyDescent="0.3">
      <c r="A14" s="27" t="str">
        <f t="shared" si="0"/>
        <v>Moderado-HOSPITALIDADE</v>
      </c>
      <c r="B14" s="27" t="s">
        <v>17</v>
      </c>
      <c r="C14" s="23" t="s">
        <v>29</v>
      </c>
      <c r="D14" s="24">
        <v>0.1</v>
      </c>
    </row>
    <row r="15" spans="1:4" ht="16.5" x14ac:dyDescent="0.3">
      <c r="A15" s="27" t="str">
        <f t="shared" si="0"/>
        <v>Agressivo-PAPEL</v>
      </c>
      <c r="B15" s="27" t="s">
        <v>33</v>
      </c>
      <c r="C15" s="23" t="s">
        <v>24</v>
      </c>
      <c r="D15" s="24">
        <v>0.5</v>
      </c>
    </row>
    <row r="16" spans="1:4" ht="16.5" x14ac:dyDescent="0.3">
      <c r="A16" s="27" t="str">
        <f t="shared" si="0"/>
        <v>Agressivo-TIJOLO</v>
      </c>
      <c r="B16" s="27" t="s">
        <v>33</v>
      </c>
      <c r="C16" s="23" t="s">
        <v>25</v>
      </c>
      <c r="D16" s="24">
        <v>0.1</v>
      </c>
    </row>
    <row r="17" spans="1:4" ht="16.5" x14ac:dyDescent="0.3">
      <c r="A17" s="27" t="str">
        <f t="shared" si="0"/>
        <v>Agressivo-HÍBRIDO</v>
      </c>
      <c r="B17" s="27" t="s">
        <v>33</v>
      </c>
      <c r="C17" s="23" t="s">
        <v>26</v>
      </c>
      <c r="D17" s="24">
        <v>0.05</v>
      </c>
    </row>
    <row r="18" spans="1:4" ht="16.5" x14ac:dyDescent="0.3">
      <c r="A18" s="27" t="str">
        <f t="shared" si="0"/>
        <v>Agressivo-FOFs</v>
      </c>
      <c r="B18" s="27" t="s">
        <v>33</v>
      </c>
      <c r="C18" s="23" t="s">
        <v>27</v>
      </c>
      <c r="D18" s="24">
        <v>0.05</v>
      </c>
    </row>
    <row r="19" spans="1:4" ht="16.5" x14ac:dyDescent="0.3">
      <c r="A19" s="27" t="str">
        <f t="shared" si="0"/>
        <v>Agressivo-DESENVOLVIMENTO</v>
      </c>
      <c r="B19" s="27" t="s">
        <v>33</v>
      </c>
      <c r="C19" s="23" t="s">
        <v>28</v>
      </c>
      <c r="D19" s="24">
        <v>0.2</v>
      </c>
    </row>
    <row r="20" spans="1:4" ht="16.5" x14ac:dyDescent="0.3">
      <c r="A20" s="27" t="str">
        <f t="shared" si="0"/>
        <v>Agressivo-HOSPITALIDADE</v>
      </c>
      <c r="B20" s="27" t="s">
        <v>33</v>
      </c>
      <c r="C20" s="23" t="s">
        <v>29</v>
      </c>
      <c r="D20" s="24">
        <v>0.1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10</vt:i4>
      </vt:variant>
    </vt:vector>
  </HeadingPairs>
  <TitlesOfParts>
    <vt:vector size="12" baseType="lpstr">
      <vt:lpstr>Simulador</vt:lpstr>
      <vt:lpstr>tabela apoio</vt:lpstr>
      <vt:lpstr>aporte_mensal</vt:lpstr>
      <vt:lpstr>dividentos</vt:lpstr>
      <vt:lpstr>investimento_mensal</vt:lpstr>
      <vt:lpstr>patrimonio</vt:lpstr>
      <vt:lpstr>Perfil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Navia</dc:creator>
  <cp:lastModifiedBy>Caio Navia</cp:lastModifiedBy>
  <dcterms:created xsi:type="dcterms:W3CDTF">2026-10-14T01:45:37Z</dcterms:created>
  <dcterms:modified xsi:type="dcterms:W3CDTF">2026-10-14T03:52:27Z</dcterms:modified>
</cp:coreProperties>
</file>